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ick\Documents\Assignment\MapUp-Data-Assessment-E\"/>
    </mc:Choice>
  </mc:AlternateContent>
  <xr:revisionPtr revIDLastSave="0" documentId="13_ncr:1_{B4091A16-BB09-43FE-8237-F3F353929381}" xr6:coauthVersionLast="47" xr6:coauthVersionMax="47" xr10:uidLastSave="{00000000-0000-0000-0000-000000000000}"/>
  <bookViews>
    <workbookView xWindow="-110" yWindow="-110" windowWidth="25820" windowHeight="13900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5" i="20"/>
  <c r="C26" i="20"/>
  <c r="C27" i="20"/>
  <c r="C28" i="20"/>
  <c r="C29" i="20"/>
  <c r="C30" i="20"/>
  <c r="C31" i="20"/>
  <c r="C32" i="20"/>
  <c r="C33" i="20"/>
  <c r="C34" i="20"/>
  <c r="C35" i="20"/>
  <c r="C24" i="20"/>
  <c r="D22" i="19"/>
  <c r="D13" i="19"/>
  <c r="D14" i="19"/>
  <c r="D15" i="19"/>
  <c r="D16" i="19"/>
  <c r="D17" i="19"/>
  <c r="D18" i="19"/>
  <c r="D19" i="19"/>
  <c r="D20" i="19"/>
  <c r="D21" i="19"/>
  <c r="D12" i="19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8" i="18"/>
  <c r="B29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5" i="15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<sst xmlns="http://schemas.openxmlformats.org/spreadsheetml/2006/main" count="406" uniqueCount="183">
  <si>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</si>
  <si>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</si>
  <si>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</si>
  <si>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</si>
  <si>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</si>
  <si>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</si>
  <si>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</si>
  <si>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</si>
  <si>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</si>
  <si>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</si>
  <si>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</si>
  <si>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</si>
  <si>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</si>
  <si>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</si>
  <si>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</si>
  <si>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</si>
  <si>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</si>
  <si>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</si>
  <si>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</si>
  <si>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</si>
  <si>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</si>
  <si>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</si>
  <si>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</si>
  <si>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</si>
  <si>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</si>
  <si>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</si>
  <si>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</si>
  <si>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</si>
  <si>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</si>
  <si>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</si>
  <si>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</si>
  <si>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</si>
  <si>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</si>
  <si>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</si>
  <si>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</si>
  <si>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</si>
  <si>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</si>
  <si>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</si>
  <si>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</si>
  <si>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</si>
  <si>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</si>
  <si>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</si>
  <si>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</si>
  <si>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</si>
  <si>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</si>
  <si>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</si>
  <si>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</si>
  <si>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</si>
  <si>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</si>
  <si>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</si>
  <si>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</si>
  <si>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</si>
  <si>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</si>
  <si>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</si>
  <si>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</si>
  <si>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</si>
  <si>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</si>
  <si>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</si>
  <si>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</si>
  <si>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</si>
  <si>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</si>
  <si>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</si>
  <si>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</si>
  <si>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</si>
  <si>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</si>
  <si>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</si>
  <si>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</si>
  <si>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</si>
  <si>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</si>
  <si>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</si>
  <si>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</si>
  <si>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</si>
  <si>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</si>
  <si>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</si>
  <si>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</si>
  <si>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</si>
  <si>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</si>
  <si>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</si>
  <si>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</si>
  <si>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</si>
  <si>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</si>
  <si>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</si>
  <si>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</si>
  <si>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</si>
  <si>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</si>
  <si>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</si>
  <si>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</si>
  <si>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</si>
  <si>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</si>
  <si>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</si>
  <si>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</si>
  <si>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</si>
  <si>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</si>
  <si>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</si>
  <si>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</si>
  <si>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</si>
  <si>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</si>
  <si>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</si>
  <si>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</si>
  <si>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</si>
  <si>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</si>
  <si>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</si>
  <si>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</si>
  <si>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</si>
  <si>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</si>
  <si>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</si>
  <si>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</si>
  <si>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</si>
  <si>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</si>
  <si>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</si>
  <si>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</si>
  <si>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</si>
  <si>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</si>
  <si>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</si>
  <si>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</si>
  <si>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</si>
  <si>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</si>
  <si>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</si>
  <si>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</si>
  <si>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</si>
  <si>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</si>
  <si>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</si>
  <si>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</si>
  <si>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</si>
  <si>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</si>
  <si>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</si>
  <si>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</si>
  <si>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</si>
  <si>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</si>
  <si>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</si>
  <si>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</si>
  <si>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</si>
  <si>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</si>
  <si>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</si>
  <si>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</si>
  <si>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</si>
  <si>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</si>
  <si>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</si>
  <si>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</si>
  <si>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</si>
  <si>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</si>
  <si>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</si>
  <si>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</si>
  <si>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</si>
  <si>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</si>
  <si>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</si>
  <si>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</si>
  <si>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</si>
  <si>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</si>
  <si>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</si>
  <si>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</si>
  <si>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</si>
  <si>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</si>
  <si>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</si>
  <si>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</si>
  <si>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</si>
  <si>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</si>
  <si>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</si>
  <si>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</si>
  <si>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</si>
  <si>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</si>
  <si>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</si>
  <si>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</si>
  <si>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</si>
  <si>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</si>
  <si>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</si>
  <si>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</si>
  <si>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</si>
  <si>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</si>
  <si>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</si>
  <si>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</si>
  <si>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</si>
  <si>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</si>
  <si>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</si>
  <si>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</si>
  <si>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</si>
  <si>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</si>
  <si>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NA</t>
  </si>
  <si>
    <t>No need for formula when we have an in buit feature in file tab-&gt;Data-&gt;Text to Column. Select A16:A54,click text to column. Inside the wizard select delimit, click next. Select other to use "-" character, click next. Select the Destination as B16 with general as data type,click finish.</t>
  </si>
  <si>
    <t>Used IFNA and Sum</t>
  </si>
  <si>
    <t xml:space="preserve">First I have defined all the #NA as 20 with IFNA formula and I have sum all the value. May be there will be otherways. </t>
  </si>
  <si>
    <t>INDEX($B$10:$J$18,MATCH(VLOOKUP($A23,$M$10:$N$18,2,0),$A$10:$A$18,0),MATCH(VLOOKUP($B23,$M$10:$N$18,2,0),$B$9:$J$9,0))</t>
  </si>
  <si>
    <t>This is 2D array formul, explaination is complicated. We can have a discussion in the interview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</si>
</sst>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  <xf numFmtId="49" fontId="3" fillId="0" borderId="7" xfId="0" applyNumberFormat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4" sqref="B14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14" activePane="bottomLeft" state="frozen"/>
      <selection pane="bottomLeft" activeCell="A38" sqref="A38:XFD38"/>
    </sheetView>
  </sheetViews>
  <sheetFormatPr defaultColWidth="9" defaultRowHeight="14.5" x14ac:dyDescent="0.35"/>
  <cols>
    <col min="1" max="1" width="18.3984375" style="1" bestFit="1" customWidth="1"/>
    <col min="2" max="2" width="6.3984375" style="1" bestFit="1" customWidth="1"/>
    <col min="3" max="3" width="12.19921875" style="1" bestFit="1" customWidth="1"/>
    <col min="4" max="4" width="13.09765625" style="23" bestFit="1" customWidth="1"/>
    <col min="5" max="5" width="11.296875" style="1" bestFit="1" customWidth="1"/>
    <col min="6" max="6" width="12.19921875" style="23" bestFit="1" customWidth="1"/>
    <col min="7" max="9" width="7.296875" style="1" bestFit="1" customWidth="1"/>
    <col min="10" max="12" width="9.5" style="1" bestFit="1" customWidth="1"/>
    <col min="13" max="15" width="7.796875" style="1" bestFit="1" customWidth="1"/>
    <col min="16" max="18" width="6.296875" style="1" bestFit="1" customWidth="1"/>
    <col min="19" max="20" width="9.296875" style="1" bestFit="1" customWidth="1"/>
    <col min="21" max="23" width="7.8984375" style="1" bestFit="1" customWidth="1"/>
    <col min="24" max="24" width="11.0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22" sqref="C22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>
        <f>SUMIF(Dataset!H2:H40, "&gt;20")</f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12" sqref="I12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VLOOKUP($A6,Dataset!$A:$W,7,FALSE)</f>
        <v>2.7</v>
      </c>
      <c r="C6" s="11">
        <f>VLOOKUP($A6,Dataset!$A:$W,14,FALSE)</f>
        <v>7.6</v>
      </c>
      <c r="D6" s="11">
        <f>VLOOKUP($A6,Dataset!$A:$W,18,FALSE)</f>
        <v>4.2</v>
      </c>
      <c r="E6" s="11">
        <f>VLOOKUP($A6,Dataset!$A:$W,20,FALSE)</f>
        <v>8.9</v>
      </c>
      <c r="F6" s="11">
        <f>VLOOKUP($A6,Dataset!$A:$W,22,FALSE)</f>
        <v>4.2</v>
      </c>
    </row>
    <row r="7" spans="1:7" ht="14.5" x14ac:dyDescent="0.35">
      <c r="A7" s="7" t="s">
        <v>4</v>
      </c>
      <c r="B7" s="11">
        <f>VLOOKUP($A7,Dataset!$A:$W,7,FALSE)</f>
        <v>2.7</v>
      </c>
      <c r="C7" s="11">
        <f>VLOOKUP($A7,Dataset!$A:$W,14,FALSE)</f>
        <v>7.6</v>
      </c>
      <c r="D7" s="11">
        <f>VLOOKUP($A7,Dataset!$A:$W,18,FALSE)</f>
        <v>4.2</v>
      </c>
      <c r="E7" s="11">
        <f>VLOOKUP($A7,Dataset!$A:$W,20,FALSE)</f>
        <v>8.9</v>
      </c>
      <c r="F7" s="11">
        <f>VLOOKUP($A7,Dataset!$A:$W,22,FALSE)</f>
        <v>4.2</v>
      </c>
    </row>
    <row r="8" spans="1:7" ht="14.5" x14ac:dyDescent="0.35">
      <c r="A8" s="7" t="s">
        <v>7</v>
      </c>
      <c r="B8" s="11">
        <f>VLOOKUP($A8,Dataset!$A:$W,7,FALSE)</f>
        <v>3.6</v>
      </c>
      <c r="C8" s="11">
        <f>VLOOKUP($A8,Dataset!$A:$W,14,FALSE)</f>
        <v>11.1</v>
      </c>
      <c r="D8" s="11">
        <f>VLOOKUP($A8,Dataset!$A:$W,18,FALSE)</f>
        <v>5.8</v>
      </c>
      <c r="E8" s="11">
        <f>VLOOKUP($A8,Dataset!$A:$W,20,FALSE)</f>
        <v>12.2</v>
      </c>
      <c r="F8" s="11">
        <f>VLOOKUP($A8,Dataset!$A:$W,22,FALSE)</f>
        <v>5.8</v>
      </c>
    </row>
    <row r="9" spans="1:7" ht="14.5" x14ac:dyDescent="0.35">
      <c r="A9" s="7" t="s">
        <v>8</v>
      </c>
      <c r="B9" s="11">
        <f>VLOOKUP($A9,Dataset!$A:$W,7,FALSE)</f>
        <v>4.9000000000000004</v>
      </c>
      <c r="C9" s="11">
        <f>VLOOKUP($A9,Dataset!$A:$W,14,FALSE)</f>
        <v>13.3</v>
      </c>
      <c r="D9" s="11">
        <f>VLOOKUP($A9,Dataset!$A:$W,18,FALSE)</f>
        <v>8.1</v>
      </c>
      <c r="E9" s="11">
        <f>VLOOKUP($A9,Dataset!$A:$W,20,FALSE)</f>
        <v>17</v>
      </c>
      <c r="F9" s="11">
        <f>VLOOKUP($A9,Dataset!$A:$W,22,FALSE)</f>
        <v>8.1</v>
      </c>
    </row>
    <row r="10" spans="1:7" ht="14.5" x14ac:dyDescent="0.35">
      <c r="A10" s="7" t="s">
        <v>11</v>
      </c>
      <c r="B10" s="11">
        <f>VLOOKUP($A10,Dataset!$A:$W,7,FALSE)</f>
        <v>9.4</v>
      </c>
      <c r="C10" s="11">
        <f>VLOOKUP($A10,Dataset!$A:$W,14,FALSE)</f>
        <v>28.3</v>
      </c>
      <c r="D10" s="11">
        <f>VLOOKUP($A10,Dataset!$A:$W,18,FALSE)</f>
        <v>16.100000000000001</v>
      </c>
      <c r="E10" s="11">
        <f>VLOOKUP($A10,Dataset!$A:$W,20,FALSE)</f>
        <v>32.799999999999997</v>
      </c>
      <c r="F10" s="11">
        <f>VLOOKUP($A10,Dataset!$A:$W,22,FALSE)</f>
        <v>16.100000000000001</v>
      </c>
    </row>
    <row r="11" spans="1:7" ht="14.5" x14ac:dyDescent="0.35">
      <c r="A11" s="7" t="s">
        <v>12</v>
      </c>
      <c r="B11" s="11">
        <f>VLOOKUP($A11,Dataset!$A:$W,7,FALSE)</f>
        <v>11.6</v>
      </c>
      <c r="C11" s="11">
        <f>VLOOKUP($A11,Dataset!$A:$W,14,FALSE)</f>
        <v>35.200000000000003</v>
      </c>
      <c r="D11" s="11">
        <f>VLOOKUP($A11,Dataset!$A:$W,18,FALSE)</f>
        <v>21.3</v>
      </c>
      <c r="E11" s="11">
        <f>VLOOKUP($A11,Dataset!$A:$W,20,FALSE)</f>
        <v>43</v>
      </c>
      <c r="F11" s="11">
        <f>VLOOKUP($A11,Dataset!$A:$W,22,FALSE)</f>
        <v>21.3</v>
      </c>
    </row>
    <row r="12" spans="1:7" ht="14.5" x14ac:dyDescent="0.35">
      <c r="A12" s="7" t="s">
        <v>14</v>
      </c>
      <c r="B12" s="11">
        <f>VLOOKUP($A12,Dataset!$A:$W,7,FALSE)</f>
        <v>18.399999999999999</v>
      </c>
      <c r="C12" s="11">
        <f>VLOOKUP($A12,Dataset!$A:$W,14,FALSE)</f>
        <v>55.6</v>
      </c>
      <c r="D12" s="11">
        <f>VLOOKUP($A12,Dataset!$A:$W,18,FALSE)</f>
        <v>33.799999999999997</v>
      </c>
      <c r="E12" s="11">
        <f>VLOOKUP($A12,Dataset!$A:$W,20,FALSE)</f>
        <v>67.900000000000006</v>
      </c>
      <c r="F12" s="11">
        <f>VLOOKUP($A12,Dataset!$A:$W,22,FALSE)</f>
        <v>33.799999999999997</v>
      </c>
    </row>
    <row r="13" spans="1:7" ht="14.5" x14ac:dyDescent="0.35">
      <c r="A13" s="7" t="s">
        <v>15</v>
      </c>
      <c r="B13" s="11">
        <f>VLOOKUP($A13,Dataset!$A:$W,7,FALSE)</f>
        <v>0</v>
      </c>
      <c r="C13" s="11">
        <f>VLOOKUP($A13,Dataset!$A:$W,14,FALSE)</f>
        <v>0</v>
      </c>
      <c r="D13" s="11">
        <f>VLOOKUP($A13,Dataset!$A:$W,18,FALSE)</f>
        <v>0</v>
      </c>
      <c r="E13" s="11">
        <f>VLOOKUP($A13,Dataset!$A:$W,20,FALSE)</f>
        <v>0</v>
      </c>
      <c r="F13" s="11">
        <f>VLOOKUP($A13,Dataset!$A:$W,22,FALSE)</f>
        <v>0</v>
      </c>
    </row>
    <row r="14" spans="1:7" ht="14.5" x14ac:dyDescent="0.35">
      <c r="A14" s="7" t="s">
        <v>16</v>
      </c>
      <c r="B14" s="11">
        <f>VLOOKUP($A14,Dataset!$A:$W,7,FALSE)</f>
        <v>21.9</v>
      </c>
      <c r="C14" s="11">
        <f>VLOOKUP($A14,Dataset!$A:$W,14,FALSE)</f>
        <v>61.5</v>
      </c>
      <c r="D14" s="11">
        <f>VLOOKUP($A14,Dataset!$A:$W,18,FALSE)</f>
        <v>40.1</v>
      </c>
      <c r="E14" s="11">
        <f>VLOOKUP($A14,Dataset!$A:$W,20,FALSE)</f>
        <v>76.599999999999994</v>
      </c>
      <c r="F14" s="11">
        <f>VLOOKUP($A14,Dataset!$A:$W,22,FALSE)</f>
        <v>40.1</v>
      </c>
    </row>
    <row r="15" spans="1:7" ht="14.5" x14ac:dyDescent="0.35">
      <c r="A15" s="7" t="s">
        <v>18</v>
      </c>
      <c r="B15" s="11">
        <f>VLOOKUP($A15,Dataset!$A:$W,7,FALSE)</f>
        <v>26.8</v>
      </c>
      <c r="C15" s="11">
        <f>VLOOKUP($A15,Dataset!$A:$W,14,FALSE)</f>
        <v>79.599999999999994</v>
      </c>
      <c r="D15" s="11">
        <f>VLOOKUP($A15,Dataset!$A:$W,18,FALSE)</f>
        <v>47.9</v>
      </c>
      <c r="E15" s="11">
        <f>VLOOKUP($A15,Dataset!$A:$W,20,FALSE)</f>
        <v>96.8</v>
      </c>
      <c r="F15" s="11">
        <f>VLOOKUP($A15,Dataset!$A:$W,22,FALSE)</f>
        <v>47.9</v>
      </c>
    </row>
    <row r="16" spans="1:7" ht="14.5" x14ac:dyDescent="0.35">
      <c r="A16" s="7" t="s">
        <v>20</v>
      </c>
      <c r="B16" s="11">
        <f>VLOOKUP($A16,Dataset!$A:$W,7,FALSE)</f>
        <v>28.5</v>
      </c>
      <c r="C16" s="11">
        <f>VLOOKUP($A16,Dataset!$A:$W,14,FALSE)</f>
        <v>85.4</v>
      </c>
      <c r="D16" s="11">
        <f>VLOOKUP($A16,Dataset!$A:$W,18,FALSE)</f>
        <v>52.3</v>
      </c>
      <c r="E16" s="11">
        <f>VLOOKUP($A16,Dataset!$A:$W,20,FALSE)</f>
        <v>106.1</v>
      </c>
      <c r="F16" s="11">
        <f>VLOOKUP($A16,Dataset!$A:$W,22,FALSE)</f>
        <v>52.3</v>
      </c>
    </row>
    <row r="17" spans="1:6" ht="14.5" x14ac:dyDescent="0.35">
      <c r="A17" s="7" t="s">
        <v>22</v>
      </c>
      <c r="B17" s="11">
        <f>VLOOKUP($A17,Dataset!$A:$W,7,FALSE)</f>
        <v>30.7</v>
      </c>
      <c r="C17" s="11">
        <f>VLOOKUP($A17,Dataset!$A:$W,14,FALSE)</f>
        <v>92.1</v>
      </c>
      <c r="D17" s="11">
        <f>VLOOKUP($A17,Dataset!$A:$W,18,FALSE)</f>
        <v>57</v>
      </c>
      <c r="E17" s="11">
        <f>VLOOKUP($A17,Dataset!$A:$W,20,FALSE)</f>
        <v>115.1</v>
      </c>
      <c r="F17" s="11">
        <f>VLOOKUP($A17,Dataset!$A:$W,22,FALSE)</f>
        <v>57</v>
      </c>
    </row>
    <row r="18" spans="1:6" ht="14.5" x14ac:dyDescent="0.35">
      <c r="A18" s="7" t="s">
        <v>23</v>
      </c>
      <c r="B18" s="11">
        <f>VLOOKUP($A18,Dataset!$A:$W,7,FALSE)</f>
        <v>33.799999999999997</v>
      </c>
      <c r="C18" s="11">
        <f>VLOOKUP($A18,Dataset!$A:$W,14,FALSE)</f>
        <v>101.3</v>
      </c>
      <c r="D18" s="11">
        <f>VLOOKUP($A18,Dataset!$A:$W,18,FALSE)</f>
        <v>61.4</v>
      </c>
      <c r="E18" s="11">
        <f>VLOOKUP($A18,Dataset!$A:$W,20,FALSE)</f>
        <v>124.4</v>
      </c>
      <c r="F18" s="11">
        <f>VLOOKUP($A18,Dataset!$A:$W,22,FALSE)</f>
        <v>61.4</v>
      </c>
    </row>
    <row r="19" spans="1:6" ht="14.5" x14ac:dyDescent="0.35">
      <c r="A19" s="7" t="s">
        <v>24</v>
      </c>
      <c r="B19" s="11">
        <f>VLOOKUP($A19,Dataset!$A:$W,7,FALSE)</f>
        <v>34.700000000000003</v>
      </c>
      <c r="C19" s="11">
        <f>VLOOKUP($A19,Dataset!$A:$W,14,FALSE)</f>
        <v>106.1</v>
      </c>
      <c r="D19" s="11">
        <f>VLOOKUP($A19,Dataset!$A:$W,18,FALSE)</f>
        <v>63.6</v>
      </c>
      <c r="E19" s="11">
        <f>VLOOKUP($A19,Dataset!$A:$W,20,FALSE)</f>
        <v>128.6</v>
      </c>
      <c r="F19" s="11">
        <f>VLOOKUP($A19,Dataset!$A:$W,22,FALSE)</f>
        <v>63.6</v>
      </c>
    </row>
    <row r="20" spans="1:6" ht="14.5" x14ac:dyDescent="0.35">
      <c r="A20" s="7" t="s">
        <v>28</v>
      </c>
      <c r="B20" s="11">
        <f>VLOOKUP($A20,Dataset!$A:$W,7,FALSE)</f>
        <v>0</v>
      </c>
      <c r="C20" s="11">
        <f>VLOOKUP($A20,Dataset!$A:$W,14,FALSE)</f>
        <v>0</v>
      </c>
      <c r="D20" s="11">
        <f>VLOOKUP($A20,Dataset!$A:$W,18,FALSE)</f>
        <v>0</v>
      </c>
      <c r="E20" s="11">
        <f>VLOOKUP($A20,Dataset!$A:$W,20,FALSE)</f>
        <v>0</v>
      </c>
      <c r="F20" s="11">
        <f>VLOOKUP($A20,Dataset!$A:$W,22,FALSE)</f>
        <v>0</v>
      </c>
    </row>
    <row r="21" spans="1:6" ht="14.5" x14ac:dyDescent="0.35">
      <c r="A21" s="7" t="s">
        <v>57</v>
      </c>
      <c r="B21" s="11">
        <f>VLOOKUP($A21,Dataset!$A:$W,7,FALSE)</f>
        <v>41.3</v>
      </c>
      <c r="C21" s="11">
        <f>VLOOKUP($A21,Dataset!$A:$W,14,FALSE)</f>
        <v>124.4</v>
      </c>
      <c r="D21" s="11">
        <f>VLOOKUP($A21,Dataset!$A:$W,18,FALSE)</f>
        <v>75</v>
      </c>
      <c r="E21" s="11">
        <f>VLOOKUP($A21,Dataset!$A:$W,20,FALSE)</f>
        <v>151.5</v>
      </c>
      <c r="F21" s="11">
        <f>VLOOKUP($A21,Dataset!$A:$W,22,FALSE)</f>
        <v>75</v>
      </c>
    </row>
    <row r="22" spans="1:6" ht="14.5" x14ac:dyDescent="0.35">
      <c r="A22" s="7" t="s">
        <v>58</v>
      </c>
      <c r="B22" s="11">
        <f>VLOOKUP($A22,Dataset!$A:$W,7,FALSE)</f>
        <v>-1</v>
      </c>
      <c r="C22" s="11">
        <f>VLOOKUP($A22,Dataset!$A:$W,14,FALSE)</f>
        <v>-1</v>
      </c>
      <c r="D22" s="11">
        <f>VLOOKUP($A22,Dataset!$A:$W,18,FALSE)</f>
        <v>-1</v>
      </c>
      <c r="E22" s="11">
        <f>VLOOKUP($A22,Dataset!$A:$W,20,FALSE)</f>
        <v>-1</v>
      </c>
      <c r="F22" s="11">
        <f>VLOOKUP($A22,Dataset!$A:$W,22,FALSE)</f>
        <v>-1</v>
      </c>
    </row>
    <row r="23" spans="1:6" ht="14.5" x14ac:dyDescent="0.35">
      <c r="A23" s="7" t="s">
        <v>31</v>
      </c>
      <c r="B23" s="11">
        <f>VLOOKUP($A23,Dataset!$A:$W,7,FALSE)</f>
        <v>45</v>
      </c>
      <c r="C23" s="11">
        <f>VLOOKUP($A23,Dataset!$A:$W,14,FALSE)</f>
        <v>133.4</v>
      </c>
      <c r="D23" s="11">
        <f>VLOOKUP($A23,Dataset!$A:$W,18,FALSE)</f>
        <v>79.400000000000006</v>
      </c>
      <c r="E23" s="11">
        <f>VLOOKUP($A23,Dataset!$A:$W,20,FALSE)</f>
        <v>160.9</v>
      </c>
      <c r="F23" s="11">
        <f>VLOOKUP($A23,Dataset!$A:$W,22,FALSE)</f>
        <v>79.400000000000006</v>
      </c>
    </row>
    <row r="24" spans="1:6" ht="14.5" x14ac:dyDescent="0.35">
      <c r="A24" s="7" t="s">
        <v>32</v>
      </c>
      <c r="B24" s="11">
        <f>VLOOKUP($A24,Dataset!$A:$W,7,FALSE)</f>
        <v>-1</v>
      </c>
      <c r="C24" s="11">
        <f>VLOOKUP($A24,Dataset!$A:$W,14,FALSE)</f>
        <v>-1</v>
      </c>
      <c r="D24" s="11">
        <f>VLOOKUP($A24,Dataset!$A:$W,18,FALSE)</f>
        <v>-1</v>
      </c>
      <c r="E24" s="11">
        <f>VLOOKUP($A24,Dataset!$A:$W,20,FALSE)</f>
        <v>-1</v>
      </c>
      <c r="F24" s="11">
        <f>VLOOKUP($A24,Dataset!$A:$W,22,FALSE)</f>
        <v>-1</v>
      </c>
    </row>
    <row r="25" spans="1:6" ht="14.5" x14ac:dyDescent="0.35">
      <c r="A25" s="7" t="s">
        <v>34</v>
      </c>
      <c r="B25" s="11">
        <f>VLOOKUP($A25,Dataset!$A:$W,7,FALSE)</f>
        <v>43.3</v>
      </c>
      <c r="C25" s="11">
        <f>VLOOKUP($A25,Dataset!$A:$W,14,FALSE)</f>
        <v>128.6</v>
      </c>
      <c r="D25" s="11">
        <f>VLOOKUP($A25,Dataset!$A:$W,18,FALSE)</f>
        <v>79.400000000000006</v>
      </c>
      <c r="E25" s="11">
        <f>VLOOKUP($A25,Dataset!$A:$W,20,FALSE)</f>
        <v>160.9</v>
      </c>
      <c r="F25" s="11">
        <f>VLOOKUP($A25,Dataset!$A:$W,22,FALSE)</f>
        <v>79.400000000000006</v>
      </c>
    </row>
    <row r="26" spans="1:6" ht="14.5" x14ac:dyDescent="0.35">
      <c r="A26" s="7" t="s">
        <v>37</v>
      </c>
      <c r="B26" s="11">
        <f>VLOOKUP($A26,Dataset!$A:$W,7,FALSE)</f>
        <v>49.1</v>
      </c>
      <c r="C26" s="11">
        <f>VLOOKUP($A26,Dataset!$A:$W,14,FALSE)</f>
        <v>146.80000000000001</v>
      </c>
      <c r="D26" s="11">
        <f>VLOOKUP($A26,Dataset!$A:$W,18,FALSE)</f>
        <v>90.9</v>
      </c>
      <c r="E26" s="11">
        <f>VLOOKUP($A26,Dataset!$A:$W,20,FALSE)</f>
        <v>183.5</v>
      </c>
      <c r="F26" s="11">
        <f>VLOOKUP($A26,Dataset!$A:$W,22,FALSE)</f>
        <v>90.9</v>
      </c>
    </row>
    <row r="27" spans="1:6" ht="14.5" x14ac:dyDescent="0.35">
      <c r="A27" s="7" t="s">
        <v>39</v>
      </c>
      <c r="B27" s="11">
        <f>VLOOKUP($A27,Dataset!$A:$W,7,FALSE)</f>
        <v>51.8</v>
      </c>
      <c r="C27" s="11">
        <f>VLOOKUP($A27,Dataset!$A:$W,14,FALSE)</f>
        <v>156.4</v>
      </c>
      <c r="D27" s="11">
        <f>VLOOKUP($A27,Dataset!$A:$W,18,FALSE)</f>
        <v>93.1</v>
      </c>
      <c r="E27" s="11">
        <f>VLOOKUP($A27,Dataset!$A:$W,20,FALSE)</f>
        <v>188.1</v>
      </c>
      <c r="F27" s="11">
        <f>VLOOKUP($A27,Dataset!$A:$W,22,FALSE)</f>
        <v>93.1</v>
      </c>
    </row>
    <row r="28" spans="1:6" ht="14.5" x14ac:dyDescent="0.35">
      <c r="A28" s="18" t="s">
        <v>82</v>
      </c>
      <c r="B28" s="30">
        <f>MIN(B$6:B$27)</f>
        <v>-1</v>
      </c>
      <c r="C28" s="30">
        <f t="shared" ref="C28:F28" si="0">MIN(C$6:C$27)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MAX(B$6:B$27)</f>
        <v>51.8</v>
      </c>
      <c r="C29" s="30">
        <f t="shared" ref="C29:F29" si="1">MAX(C$6:C$27)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AVERAGE(B$6:B$27)</f>
        <v>20.827272727272728</v>
      </c>
      <c r="C30" s="30">
        <f t="shared" ref="C30:F30" si="2">AVERAGE(C$6:C$27)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177</v>
      </c>
    </row>
    <row r="6" spans="1:10" ht="18.5" x14ac:dyDescent="0.45">
      <c r="A6" s="42" t="s">
        <v>153</v>
      </c>
      <c r="B6" s="39" t="s">
        <v>178</v>
      </c>
    </row>
    <row r="7" spans="1:10" ht="18.5" x14ac:dyDescent="0.45">
      <c r="A7" s="42"/>
      <c r="B7" s="39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>
        <v>20000</v>
      </c>
      <c r="C16" s="1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45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abSelected="1" zoomScaleNormal="100" workbookViewId="0">
      <selection activeCell="F16" sqref="F16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41" t="s">
        <v>85</v>
      </c>
      <c r="B1" s="40" t="s">
        <v>167</v>
      </c>
    </row>
    <row r="2" spans="1:4" ht="18.5" x14ac:dyDescent="0.45">
      <c r="B2" s="39" t="s">
        <v>166</v>
      </c>
    </row>
    <row r="5" spans="1:4" ht="14.5" x14ac:dyDescent="0.35">
      <c r="B5" s="1" t="s">
        <v>151</v>
      </c>
    </row>
    <row r="6" spans="1:4" ht="14.5" x14ac:dyDescent="0.35">
      <c r="A6" s="3" t="s">
        <v>53</v>
      </c>
      <c r="B6" s="1" t="s">
        <v>179</v>
      </c>
    </row>
    <row r="7" spans="1:4" ht="14.5" x14ac:dyDescent="0.35">
      <c r="A7" s="3" t="s">
        <v>153</v>
      </c>
      <c r="B7" s="1" t="s">
        <v>180</v>
      </c>
    </row>
    <row r="10" spans="1:4" ht="23.5" x14ac:dyDescent="0.55000000000000004">
      <c r="A10" s="17" t="s">
        <v>162</v>
      </c>
    </row>
    <row r="11" spans="1:4" ht="14.5" x14ac:dyDescent="0.35">
      <c r="A11" s="31" t="s">
        <v>86</v>
      </c>
      <c r="B11" s="16" t="s">
        <v>87</v>
      </c>
      <c r="C11" s="16" t="s">
        <v>88</v>
      </c>
    </row>
    <row r="12" spans="1:4" ht="14.5" x14ac:dyDescent="0.35">
      <c r="A12" s="31">
        <v>44927</v>
      </c>
      <c r="B12" s="16" t="s">
        <v>59</v>
      </c>
      <c r="C12" s="16">
        <v>200</v>
      </c>
      <c r="D12" s="2">
        <f>_xlfn.IFNA(C12:C21,"20")</f>
        <v>200</v>
      </c>
    </row>
    <row r="13" spans="1:4" ht="14.5" x14ac:dyDescent="0.35">
      <c r="A13" s="31">
        <v>44928</v>
      </c>
      <c r="B13" s="16" t="s">
        <v>60</v>
      </c>
      <c r="C13" s="16" t="e">
        <v>#N/A</v>
      </c>
      <c r="D13" s="2" t="str">
        <f t="shared" ref="D13:D21" si="0">_xlfn.IFNA(C13:C22,"20")</f>
        <v>20</v>
      </c>
    </row>
    <row r="14" spans="1:4" ht="14.5" x14ac:dyDescent="0.35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4" ht="14.5" x14ac:dyDescent="0.35">
      <c r="A15" s="31">
        <v>44930</v>
      </c>
      <c r="B15" s="16" t="s">
        <v>62</v>
      </c>
      <c r="C15" s="16" t="e">
        <v>#N/A</v>
      </c>
      <c r="D15" s="2" t="str">
        <f t="shared" si="0"/>
        <v>20</v>
      </c>
    </row>
    <row r="16" spans="1:4" ht="14.5" x14ac:dyDescent="0.35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5" x14ac:dyDescent="0.35">
      <c r="A17" s="31">
        <v>44932</v>
      </c>
      <c r="B17" s="16" t="s">
        <v>154</v>
      </c>
      <c r="C17" s="16">
        <v>150</v>
      </c>
      <c r="D17" s="2">
        <f t="shared" si="0"/>
        <v>150</v>
      </c>
    </row>
    <row r="18" spans="1:4" ht="14.5" x14ac:dyDescent="0.35">
      <c r="A18" s="31">
        <v>44933</v>
      </c>
      <c r="B18" s="16" t="s">
        <v>155</v>
      </c>
      <c r="C18" s="16">
        <v>80</v>
      </c>
      <c r="D18" s="2">
        <f t="shared" si="0"/>
        <v>80</v>
      </c>
    </row>
    <row r="19" spans="1:4" ht="14.5" x14ac:dyDescent="0.35">
      <c r="A19" s="31">
        <v>44934</v>
      </c>
      <c r="B19" s="16" t="s">
        <v>156</v>
      </c>
      <c r="C19" s="16" t="e">
        <v>#N/A</v>
      </c>
      <c r="D19" s="2" t="str">
        <f t="shared" si="0"/>
        <v>20</v>
      </c>
    </row>
    <row r="20" spans="1:4" ht="14.5" x14ac:dyDescent="0.35">
      <c r="A20" s="31">
        <v>44935</v>
      </c>
      <c r="B20" s="16" t="s">
        <v>157</v>
      </c>
      <c r="C20" s="16">
        <v>30</v>
      </c>
      <c r="D20" s="2">
        <f t="shared" si="0"/>
        <v>30</v>
      </c>
    </row>
    <row r="21" spans="1:4" ht="14.5" x14ac:dyDescent="0.35">
      <c r="A21" s="31">
        <v>44936</v>
      </c>
      <c r="B21" s="16" t="s">
        <v>158</v>
      </c>
      <c r="C21" s="16" t="e">
        <v>#N/A</v>
      </c>
      <c r="D21" s="2" t="str">
        <f t="shared" si="0"/>
        <v>20</v>
      </c>
    </row>
    <row r="22" spans="1:4" ht="14.5" x14ac:dyDescent="0.35">
      <c r="B22" s="16" t="s">
        <v>159</v>
      </c>
      <c r="C22" s="24"/>
      <c r="D22" s="2">
        <f>SUM(D12:D21)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5" sqref="B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 t="s">
        <v>181</v>
      </c>
    </row>
    <row r="5" spans="1:14" ht="18.5" x14ac:dyDescent="0.45">
      <c r="A5" s="42" t="s">
        <v>153</v>
      </c>
      <c r="B5" s="1" t="s">
        <v>182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>
        <f>INDEX($B$10:$J$18,MATCH(VLOOKUP($A23,$M$10:$N$18,2,0),$A$10:$A$18,0),MATCH(VLOOKUP($B23,$M$10:$N$18,2,0),$B$9:$J$9,0))</f>
        <v>95</v>
      </c>
    </row>
    <row r="24" spans="1:14" ht="14.5" x14ac:dyDescent="0.35">
      <c r="A24" s="7">
        <v>10100</v>
      </c>
      <c r="B24" s="11">
        <v>10104</v>
      </c>
      <c r="C24" s="43">
        <f>INDEX($B$10:$J$18,MATCH(VLOOKUP($A24,$M$10:$N$18,2,0),$A$10:$A$18,0),MATCH(VLOOKUP($B24,$M$10:$N$18,2,0),$B$9:$J$9,0))</f>
        <v>-1</v>
      </c>
    </row>
    <row r="25" spans="1:14" ht="14.5" x14ac:dyDescent="0.35">
      <c r="A25" s="7">
        <v>10108</v>
      </c>
      <c r="B25" s="11">
        <v>10102</v>
      </c>
      <c r="C25" s="43">
        <f t="shared" ref="C25:C35" si="0">INDEX($B$10:$J$18,MATCH(VLOOKUP($A25,$M$10:$N$18,2,0),$A$10:$A$18,0),MATCH(VLOOKUP($B25,$M$10:$N$18,2,0),$B$9:$J$9,0))</f>
        <v>160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</row>
    <row r="33" spans="1:3" ht="14.5" x14ac:dyDescent="0.35">
      <c r="A33" s="7">
        <v>10110</v>
      </c>
      <c r="B33" s="11">
        <v>10112</v>
      </c>
      <c r="C33" s="43">
        <f t="shared" si="0"/>
        <v>115</v>
      </c>
    </row>
    <row r="34" spans="1:3" ht="14.5" x14ac:dyDescent="0.35">
      <c r="A34" s="7">
        <v>10100</v>
      </c>
      <c r="B34" s="11">
        <v>10114</v>
      </c>
      <c r="C34" s="43">
        <f t="shared" si="0"/>
        <v>480</v>
      </c>
    </row>
    <row r="35" spans="1:3" ht="14.5" x14ac:dyDescent="0.35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Nikhil S</cp:lastModifiedBy>
  <dcterms:created xsi:type="dcterms:W3CDTF">2015-02-10T17:33:11Z</dcterms:created>
  <dcterms:modified xsi:type="dcterms:W3CDTF">2023-12-10T15:10:06Z</dcterms:modified>
</cp:coreProperties>
</file>